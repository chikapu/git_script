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kimik\Desktop\"/>
    </mc:Choice>
  </mc:AlternateContent>
  <bookViews>
    <workbookView xWindow="0" yWindow="0" windowWidth="11520" windowHeight="8310"/>
  </bookViews>
  <sheets>
    <sheet name="Sheet1" sheetId="1" r:id="rId1"/>
  </sheets>
  <definedNames>
    <definedName name="bin">Sheet1!$V$3</definedName>
    <definedName name="fiveb0">Sheet1!#REF!</definedName>
    <definedName name="fourb0">Sheet1!#REF!</definedName>
    <definedName name="oneb0">Sheet1!#REF!</definedName>
    <definedName name="sevenb0">Sheet1!#REF!</definedName>
    <definedName name="sixb0">Sheet1!#REF!</definedName>
    <definedName name="threeb0">Sheet1!#REF!</definedName>
    <definedName name="twob0">Sheet1!#REF!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0" i="1" l="1"/>
  <c r="E25" i="1" l="1"/>
  <c r="F19" i="1" l="1"/>
  <c r="G19" i="1"/>
  <c r="H19" i="1"/>
  <c r="E19" i="1"/>
  <c r="G22" i="1"/>
  <c r="G27" i="1" s="1"/>
  <c r="E21" i="1"/>
  <c r="E26" i="1" s="1"/>
  <c r="F22" i="1"/>
  <c r="F27" i="1" s="1"/>
  <c r="H22" i="1"/>
  <c r="H27" i="1" s="1"/>
  <c r="E22" i="1"/>
  <c r="E27" i="1" s="1"/>
  <c r="F21" i="1"/>
  <c r="F26" i="1" s="1"/>
  <c r="G21" i="1"/>
  <c r="G26" i="1" s="1"/>
  <c r="F11" i="1"/>
  <c r="F20" i="1" s="1"/>
  <c r="F25" i="1" s="1"/>
  <c r="G11" i="1"/>
  <c r="G12" i="1"/>
  <c r="H12" i="1"/>
  <c r="H20" i="1" s="1"/>
  <c r="H25" i="1" s="1"/>
  <c r="H15" i="1"/>
  <c r="H21" i="1" s="1"/>
  <c r="H26" i="1" s="1"/>
  <c r="G20" i="1" l="1"/>
  <c r="G25" i="1" s="1"/>
</calcChain>
</file>

<file path=xl/sharedStrings.xml><?xml version="1.0" encoding="utf-8"?>
<sst xmlns="http://schemas.openxmlformats.org/spreadsheetml/2006/main" count="56" uniqueCount="38">
  <si>
    <t>bit_a</t>
  </si>
  <si>
    <t>bit_b</t>
  </si>
  <si>
    <t>bit_c</t>
  </si>
  <si>
    <t>bit_d</t>
  </si>
  <si>
    <t>test_a</t>
  </si>
  <si>
    <t>test_b</t>
  </si>
  <si>
    <t>test_c</t>
  </si>
  <si>
    <t>test_d</t>
  </si>
  <si>
    <t>8'b</t>
  </si>
  <si>
    <t>bin</t>
  </si>
  <si>
    <t>bit_e</t>
  </si>
  <si>
    <t>a</t>
  </si>
  <si>
    <t>b</t>
  </si>
  <si>
    <t>e</t>
  </si>
  <si>
    <t>c</t>
  </si>
  <si>
    <t>d</t>
  </si>
  <si>
    <t>f</t>
  </si>
  <si>
    <t>bit_f</t>
  </si>
  <si>
    <t>reg1</t>
  </si>
  <si>
    <t>reg2</t>
  </si>
  <si>
    <t>reg3</t>
  </si>
  <si>
    <t>adr</t>
  </si>
  <si>
    <t>0x01</t>
  </si>
  <si>
    <t>0x02</t>
  </si>
  <si>
    <t>0x03</t>
  </si>
  <si>
    <t>size4</t>
  </si>
  <si>
    <t>size3</t>
  </si>
  <si>
    <t>size2</t>
  </si>
  <si>
    <t>size1</t>
  </si>
  <si>
    <t>size0</t>
  </si>
  <si>
    <t>size</t>
  </si>
  <si>
    <t>default</t>
  </si>
  <si>
    <t>8'b00100000</t>
  </si>
  <si>
    <t>8'b00011100</t>
  </si>
  <si>
    <t>8'd40</t>
  </si>
  <si>
    <t>P_REG1_ADR</t>
  </si>
  <si>
    <t>P_REG2_ADR</t>
  </si>
  <si>
    <t>P_REG3_ADR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</si>
</sst>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center"/>
    </xf>
    <xf numFmtId="0" fontId="0" fillId="0" borderId="0" xfId="0" quotePrefix="1"/>
    <xf numFmtId="0" fontId="0" fillId="0" borderId="2" xfId="0" applyBorder="1"/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/>
    <xf numFmtId="0" fontId="0" fillId="0" borderId="6" xfId="0" applyBorder="1"/>
    <xf numFmtId="0" fontId="0" fillId="0" borderId="8" xfId="0" applyBorder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0" fillId="0" borderId="11" xfId="0" applyFill="1" applyBorder="1"/>
    <xf numFmtId="0" fontId="0" fillId="0" borderId="12" xfId="0" applyFill="1" applyBorder="1" applyAlignment="1">
      <alignment horizontal="center"/>
    </xf>
    <xf numFmtId="0" fontId="0" fillId="3" borderId="0" xfId="0" applyFill="1"/>
    <xf numFmtId="0" fontId="0" fillId="3" borderId="0" xfId="0" applyFill="1" applyBorder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2" borderId="0" xfId="0" applyFill="1" applyAlignment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1485899</xdr:colOff>
          <xdr:row>3</xdr:row>
          <xdr:rowOff>38100</xdr:rowOff>
        </xdr:from>
        <xdr:to>
          <xdr:col>5</xdr:col>
          <xdr:colOff>962024</xdr:colOff>
          <xdr:row>4</xdr:row>
          <xdr:rowOff>152400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30"/>
  <sheetViews>
    <sheetView tabSelected="1" topLeftCell="B1" zoomScale="70" zoomScaleNormal="70" workbookViewId="0">
      <selection activeCell="G28" sqref="G28"/>
    </sheetView>
  </sheetViews>
  <sheetFormatPr defaultRowHeight="15" x14ac:dyDescent="0.25"/>
  <cols>
    <col min="2" max="2" width="14.5703125" bestFit="1" customWidth="1"/>
    <col min="3" max="3" width="5.85546875" bestFit="1" customWidth="1"/>
    <col min="4" max="4" width="11.5703125" bestFit="1" customWidth="1"/>
    <col min="5" max="5" width="26.85546875" bestFit="1" customWidth="1"/>
    <col min="6" max="6" width="26.7109375" bestFit="1" customWidth="1"/>
    <col min="7" max="8" width="33.5703125" bestFit="1" customWidth="1"/>
    <col min="10" max="10" width="6" bestFit="1" customWidth="1"/>
    <col min="11" max="11" width="5.7109375" bestFit="1" customWidth="1"/>
    <col min="12" max="20" width="5.85546875" customWidth="1"/>
    <col min="21" max="21" width="4.140625" bestFit="1" customWidth="1"/>
  </cols>
  <sheetData>
    <row r="1" spans="1:22" x14ac:dyDescent="0.25">
      <c r="A1" s="2"/>
    </row>
    <row r="2" spans="1:22" x14ac:dyDescent="0.25">
      <c r="A2" s="2"/>
      <c r="J2" t="s">
        <v>21</v>
      </c>
      <c r="L2" s="1">
        <v>7</v>
      </c>
      <c r="M2" s="1">
        <v>6</v>
      </c>
      <c r="N2" s="1">
        <v>5</v>
      </c>
      <c r="O2" s="1">
        <v>4</v>
      </c>
      <c r="P2" s="1">
        <v>3</v>
      </c>
      <c r="Q2" s="1">
        <v>2</v>
      </c>
      <c r="R2" s="1">
        <v>1</v>
      </c>
      <c r="S2" s="1">
        <v>0</v>
      </c>
      <c r="T2" s="1"/>
    </row>
    <row r="3" spans="1:22" x14ac:dyDescent="0.25">
      <c r="A3" s="2"/>
      <c r="J3" t="s">
        <v>22</v>
      </c>
      <c r="K3" t="s">
        <v>18</v>
      </c>
      <c r="L3" s="4" t="s">
        <v>13</v>
      </c>
      <c r="M3" s="5">
        <v>0</v>
      </c>
      <c r="N3" s="4" t="s">
        <v>12</v>
      </c>
      <c r="O3" s="5">
        <v>0</v>
      </c>
      <c r="P3" s="5">
        <v>0</v>
      </c>
      <c r="Q3" s="5">
        <v>0</v>
      </c>
      <c r="R3" s="4" t="s">
        <v>11</v>
      </c>
      <c r="S3" s="5">
        <v>0</v>
      </c>
      <c r="T3" s="3"/>
      <c r="U3" t="s">
        <v>9</v>
      </c>
      <c r="V3" t="s">
        <v>8</v>
      </c>
    </row>
    <row r="4" spans="1:22" x14ac:dyDescent="0.25">
      <c r="A4" s="2"/>
      <c r="J4" t="s">
        <v>23</v>
      </c>
      <c r="K4" t="s">
        <v>19</v>
      </c>
      <c r="L4" s="5">
        <v>0</v>
      </c>
      <c r="M4" s="5">
        <v>0</v>
      </c>
      <c r="N4" s="5">
        <v>0</v>
      </c>
      <c r="O4" s="4" t="s">
        <v>15</v>
      </c>
      <c r="P4" s="4" t="s">
        <v>14</v>
      </c>
      <c r="Q4" s="4" t="s">
        <v>16</v>
      </c>
      <c r="R4" s="5">
        <v>0</v>
      </c>
      <c r="S4" s="5">
        <v>0</v>
      </c>
      <c r="T4" s="3"/>
    </row>
    <row r="5" spans="1:22" x14ac:dyDescent="0.25">
      <c r="A5" s="2"/>
      <c r="J5" t="s">
        <v>24</v>
      </c>
      <c r="K5" t="s">
        <v>20</v>
      </c>
      <c r="L5" s="5">
        <v>0</v>
      </c>
      <c r="M5" s="5">
        <v>0</v>
      </c>
      <c r="N5" s="5">
        <v>0</v>
      </c>
      <c r="O5" s="4" t="s">
        <v>25</v>
      </c>
      <c r="P5" s="4" t="s">
        <v>26</v>
      </c>
      <c r="Q5" s="4" t="s">
        <v>27</v>
      </c>
      <c r="R5" s="4" t="s">
        <v>28</v>
      </c>
      <c r="S5" s="4" t="s">
        <v>29</v>
      </c>
    </row>
    <row r="6" spans="1:22" x14ac:dyDescent="0.25">
      <c r="A6" s="2"/>
    </row>
    <row r="7" spans="1:22" x14ac:dyDescent="0.25">
      <c r="A7" s="2"/>
    </row>
    <row r="10" spans="1:22" ht="15.75" thickBot="1" x14ac:dyDescent="0.3">
      <c r="E10" t="s">
        <v>4</v>
      </c>
      <c r="F10" t="s">
        <v>5</v>
      </c>
      <c r="G10" t="s">
        <v>6</v>
      </c>
      <c r="H10" t="s">
        <v>7</v>
      </c>
    </row>
    <row r="11" spans="1:22" x14ac:dyDescent="0.25">
      <c r="C11" s="19" t="s">
        <v>18</v>
      </c>
      <c r="D11" s="6" t="s">
        <v>0</v>
      </c>
      <c r="E11" s="9">
        <v>1</v>
      </c>
      <c r="F11" s="9">
        <f>0</f>
        <v>0</v>
      </c>
      <c r="G11" s="9">
        <f>0</f>
        <v>0</v>
      </c>
      <c r="H11" s="10">
        <v>1</v>
      </c>
    </row>
    <row r="12" spans="1:22" x14ac:dyDescent="0.25">
      <c r="C12" s="19" t="s">
        <v>18</v>
      </c>
      <c r="D12" s="7" t="s">
        <v>1</v>
      </c>
      <c r="E12" s="11">
        <v>1</v>
      </c>
      <c r="F12" s="11">
        <v>1</v>
      </c>
      <c r="G12" s="11">
        <f>0</f>
        <v>0</v>
      </c>
      <c r="H12" s="12">
        <f>0</f>
        <v>0</v>
      </c>
    </row>
    <row r="13" spans="1:22" ht="15.75" thickBot="1" x14ac:dyDescent="0.3">
      <c r="C13" s="19" t="s">
        <v>18</v>
      </c>
      <c r="D13" s="8" t="s">
        <v>10</v>
      </c>
      <c r="E13" s="13">
        <v>1</v>
      </c>
      <c r="F13" s="13">
        <v>0</v>
      </c>
      <c r="G13" s="13">
        <v>1</v>
      </c>
      <c r="H13" s="14">
        <v>1</v>
      </c>
    </row>
    <row r="14" spans="1:22" x14ac:dyDescent="0.25">
      <c r="C14" s="19" t="s">
        <v>19</v>
      </c>
      <c r="D14" s="6" t="s">
        <v>3</v>
      </c>
      <c r="E14" s="9">
        <v>1</v>
      </c>
      <c r="F14" s="9">
        <v>1</v>
      </c>
      <c r="G14" s="9">
        <v>1</v>
      </c>
      <c r="H14" s="10">
        <v>1</v>
      </c>
    </row>
    <row r="15" spans="1:22" x14ac:dyDescent="0.25">
      <c r="C15" s="19" t="s">
        <v>19</v>
      </c>
      <c r="D15" s="7" t="s">
        <v>2</v>
      </c>
      <c r="E15" s="11">
        <v>1</v>
      </c>
      <c r="F15" s="11">
        <v>0</v>
      </c>
      <c r="G15" s="11">
        <v>0</v>
      </c>
      <c r="H15" s="12">
        <f>0</f>
        <v>0</v>
      </c>
    </row>
    <row r="16" spans="1:22" ht="15.75" thickBot="1" x14ac:dyDescent="0.3">
      <c r="C16" s="19" t="s">
        <v>19</v>
      </c>
      <c r="D16" s="8" t="s">
        <v>17</v>
      </c>
      <c r="E16" s="13">
        <v>1</v>
      </c>
      <c r="F16" s="13">
        <v>1</v>
      </c>
      <c r="G16" s="13">
        <v>1</v>
      </c>
      <c r="H16" s="14">
        <v>1</v>
      </c>
    </row>
    <row r="17" spans="2:8" ht="15.75" thickBot="1" x14ac:dyDescent="0.3">
      <c r="C17" s="20" t="s">
        <v>20</v>
      </c>
      <c r="D17" s="17" t="s">
        <v>30</v>
      </c>
      <c r="E17" s="21">
        <v>100</v>
      </c>
      <c r="F17" s="18">
        <v>20</v>
      </c>
      <c r="G17" s="18">
        <v>30</v>
      </c>
      <c r="H17" s="22">
        <v>40</v>
      </c>
    </row>
    <row r="18" spans="2:8" x14ac:dyDescent="0.25">
      <c r="C18" s="15"/>
      <c r="D18" s="15"/>
      <c r="E18" s="11"/>
      <c r="F18" s="16"/>
      <c r="G18" s="16"/>
      <c r="H18" s="11"/>
    </row>
    <row r="19" spans="2:8" x14ac:dyDescent="0.25">
      <c r="B19" t="s">
        <v>21</v>
      </c>
      <c r="D19" t="s">
        <v>31</v>
      </c>
      <c r="E19" t="str">
        <f>E10</f>
        <v>test_a</v>
      </c>
      <c r="F19" t="str">
        <f t="shared" ref="F19:H19" si="0">F10</f>
        <v>test_b</v>
      </c>
      <c r="G19" t="str">
        <f t="shared" si="0"/>
        <v>test_c</v>
      </c>
      <c r="H19" t="str">
        <f t="shared" si="0"/>
        <v>test_d</v>
      </c>
    </row>
    <row r="20" spans="2:8" x14ac:dyDescent="0.25">
      <c r="B20" t="s">
        <v>35</v>
      </c>
      <c r="C20" s="19" t="s">
        <v>18</v>
      </c>
      <c r="D20" s="19" t="s">
        <v>32</v>
      </c>
      <c r="E20" s="23" t="str">
        <f>bin&amp;E13&amp;"0"&amp;E12&amp;"000"&amp;E11&amp;"0"</f>
        <v>8'b10100010</v>
      </c>
      <c r="F20" s="23" t="str">
        <f>bin&amp;F13&amp;"0"&amp;F12&amp;"000"&amp;F11&amp;"0"</f>
        <v>8'b00100000</v>
      </c>
      <c r="G20" s="23" t="str">
        <f>bin&amp;G13&amp;"0"&amp;G12&amp;"000"&amp;G11&amp;"0"</f>
        <v>8'b10000000</v>
      </c>
      <c r="H20" s="23" t="str">
        <f>bin&amp;H13&amp;"0"&amp;H12&amp;"000"&amp;H11&amp;"0"</f>
        <v>8'b10000010</v>
      </c>
    </row>
    <row r="21" spans="2:8" x14ac:dyDescent="0.25">
      <c r="B21" t="s">
        <v>36</v>
      </c>
      <c r="C21" s="19" t="s">
        <v>19</v>
      </c>
      <c r="D21" s="19" t="s">
        <v>33</v>
      </c>
      <c r="E21" s="23" t="str">
        <f>bin&amp;"000"&amp;E14&amp;E15&amp;E16&amp;"00"</f>
        <v>8'b00011100</v>
      </c>
      <c r="F21" s="23" t="str">
        <f>bin&amp;"000"&amp;F14&amp;F15&amp;F16&amp;"00"</f>
        <v>8'b00010100</v>
      </c>
      <c r="G21" s="23" t="str">
        <f>bin&amp;"000"&amp;G14&amp;G15&amp;G16&amp;"00"</f>
        <v>8'b00010100</v>
      </c>
      <c r="H21" s="23" t="str">
        <f>bin&amp;"000"&amp;H14&amp;H15&amp;H16&amp;"00"</f>
        <v>8'b00010100</v>
      </c>
    </row>
    <row r="22" spans="2:8" x14ac:dyDescent="0.25">
      <c r="B22" t="s">
        <v>37</v>
      </c>
      <c r="C22" s="20" t="s">
        <v>20</v>
      </c>
      <c r="D22" s="20" t="s">
        <v>34</v>
      </c>
      <c r="E22" s="23" t="str">
        <f>"8'd"&amp;E17</f>
        <v>8'd100</v>
      </c>
      <c r="F22" s="23" t="str">
        <f>"8'd"&amp;F17</f>
        <v>8'd20</v>
      </c>
      <c r="G22" s="23" t="str">
        <f>"8'd"&amp;G17</f>
        <v>8'd30</v>
      </c>
      <c r="H22" s="23" t="str">
        <f>"8'd"&amp;H17</f>
        <v>8'd40</v>
      </c>
    </row>
    <row r="24" spans="2:8" x14ac:dyDescent="0.25">
      <c r="E24" t="s">
        <v>4</v>
      </c>
      <c r="F24" t="s">
        <v>5</v>
      </c>
      <c r="G24" t="s">
        <v>6</v>
      </c>
      <c r="H24" t="s">
        <v>7</v>
      </c>
    </row>
    <row r="25" spans="2:8" x14ac:dyDescent="0.25">
      <c r="C25" s="19" t="s">
        <v>18</v>
      </c>
      <c r="E25" t="str">
        <f>IF(E20=$D$20,"","write_i2c("&amp;$B$20&amp;","&amp;E20&amp;");")</f>
        <v>write_i2c(P_REG1_ADR,8'b10100010);</v>
      </c>
      <c r="F25" t="str">
        <f>IF(F20=$D$20,"","write_i2c("&amp;$B$20&amp;","&amp;F20&amp;");")</f>
        <v/>
      </c>
      <c r="G25" t="str">
        <f>IF(G20=$D$20,"","write_i2c("&amp;$B$20&amp;","&amp;G20&amp;");")</f>
        <v>write_i2c(P_REG1_ADR,8'b10000000);</v>
      </c>
      <c r="H25" t="str">
        <f>IF(H20=$D$20,"","write_i2c("&amp;$B$20&amp;","&amp;H20&amp;");")</f>
        <v>write_i2c(P_REG1_ADR,8'b10000010);</v>
      </c>
    </row>
    <row r="26" spans="2:8" x14ac:dyDescent="0.25">
      <c r="C26" s="19" t="s">
        <v>19</v>
      </c>
      <c r="E26" t="str">
        <f>IF(E21=$D$21,"","write_i2c("&amp;$B$21&amp;","&amp;E21&amp;");")</f>
        <v/>
      </c>
      <c r="F26" t="str">
        <f>IF(F21=$D$21,"","write_i2c("&amp;$B$21&amp;","&amp;F21&amp;");")</f>
        <v>write_i2c(P_REG2_ADR,8'b00010100);</v>
      </c>
      <c r="G26" t="str">
        <f>IF(G21=$D$21,"","write_i2c("&amp;$B$21&amp;","&amp;G21&amp;");")</f>
        <v>write_i2c(P_REG2_ADR,8'b00010100);</v>
      </c>
      <c r="H26" t="str">
        <f>IF(H21=$D$21,"","write_i2c("&amp;$B$21&amp;","&amp;H21&amp;");")</f>
        <v>write_i2c(P_REG2_ADR,8'b00010100);</v>
      </c>
    </row>
    <row r="27" spans="2:8" x14ac:dyDescent="0.25">
      <c r="C27" s="20" t="s">
        <v>20</v>
      </c>
      <c r="E27" t="str">
        <f>IF(E22=$D$22,"","write_i2c("&amp;$B$22&amp;","&amp;E22&amp;");")</f>
        <v>write_i2c(P_REG3_ADR,8'd100);</v>
      </c>
      <c r="F27" t="str">
        <f>IF(F22=$D$22,"","write_i2c("&amp;$B$22&amp;","&amp;F22&amp;");")</f>
        <v>write_i2c(P_REG3_ADR,8'd20);</v>
      </c>
      <c r="G27" t="str">
        <f>IF(G22=$D$22,"","write_i2c("&amp;$B$22&amp;","&amp;G22&amp;");")</f>
        <v>write_i2c(P_REG3_ADR,8'd30);</v>
      </c>
      <c r="H27" t="str">
        <f>IF(H22=$D$22,"","write_i2c("&amp;$B$22&amp;","&amp;H22&amp;");")</f>
        <v/>
      </c>
    </row>
    <row r="30" spans="2:8" x14ac:dyDescent="0.25">
      <c r="E30" s="24"/>
      <c r="F30" s="24"/>
      <c r="G30" s="24"/>
      <c r="H30" s="24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1">
          <controlPr autoLine="0" autoPict="0" r:id="rId5">
            <anchor moveWithCells="1">
              <from>
                <xdr:col>4</xdr:col>
                <xdr:colOff>1485900</xdr:colOff>
                <xdr:row>3</xdr:row>
                <xdr:rowOff>38100</xdr:rowOff>
              </from>
              <to>
                <xdr:col>5</xdr:col>
                <xdr:colOff>962025</xdr:colOff>
                <xdr:row>4</xdr:row>
                <xdr:rowOff>152400</xdr:rowOff>
              </to>
            </anchor>
          </controlPr>
        </control>
      </mc:Choice>
      <mc:Fallback>
        <control shapeId="1027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bin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Ngô Kiên</dc:creator>
  <cp:lastModifiedBy>Ngô Kiên</cp:lastModifiedBy>
  <dcterms:created xsi:type="dcterms:W3CDTF">2015-06-05T18:17:20Z</dcterms:created>
  <dcterms:modified xsi:type="dcterms:W3CDTF">2019-03-17T07:56:16Z</dcterms:modified>
</cp:coreProperties>
</file>